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cms032250119/Desktop/"/>
    </mc:Choice>
  </mc:AlternateContent>
  <xr:revisionPtr revIDLastSave="0" documentId="13_ncr:1_{7EFF9963-18AB-3A4A-857F-DF5C66B0E364}" xr6:coauthVersionLast="47" xr6:coauthVersionMax="47" xr10:uidLastSave="{00000000-0000-0000-0000-000000000000}"/>
  <bookViews>
    <workbookView xWindow="0" yWindow="660" windowWidth="29400" windowHeight="16660" xr2:uid="{242C368C-50CE-AC41-9629-3DA373CD80AF}"/>
  </bookViews>
  <sheets>
    <sheet name="927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8" i="2" l="1"/>
  <c r="L9" i="2"/>
  <c r="L10" i="2"/>
  <c r="L11" i="2"/>
  <c r="L14" i="2"/>
  <c r="L15" i="2"/>
  <c r="L16" i="2"/>
  <c r="L17" i="2"/>
  <c r="L20" i="2"/>
  <c r="L21" i="2"/>
  <c r="L22" i="2"/>
  <c r="L23" i="2"/>
  <c r="L27" i="2"/>
  <c r="L28" i="2"/>
  <c r="L29" i="2"/>
  <c r="L30" i="2"/>
  <c r="L33" i="2"/>
  <c r="L34" i="2"/>
  <c r="L35" i="2"/>
  <c r="L36" i="2"/>
  <c r="L39" i="2"/>
  <c r="L40" i="2"/>
  <c r="L41" i="2"/>
  <c r="L42" i="2"/>
  <c r="L45" i="2"/>
  <c r="L46" i="2"/>
  <c r="L47" i="2"/>
  <c r="L48" i="2"/>
  <c r="L51" i="2"/>
  <c r="L52" i="2"/>
  <c r="L53" i="2"/>
  <c r="L54" i="2"/>
  <c r="L57" i="2"/>
  <c r="L58" i="2"/>
  <c r="L59" i="2"/>
  <c r="L60" i="2"/>
  <c r="L63" i="2"/>
  <c r="L64" i="2"/>
  <c r="L65" i="2"/>
  <c r="L66" i="2"/>
  <c r="L69" i="2"/>
  <c r="L70" i="2"/>
  <c r="L71" i="2"/>
  <c r="L72" i="2"/>
  <c r="K3" i="2"/>
  <c r="L3" i="2" s="1"/>
  <c r="K4" i="2"/>
  <c r="L4" i="2" s="1"/>
  <c r="K8" i="2"/>
  <c r="K9" i="2"/>
  <c r="K10" i="2"/>
  <c r="K14" i="2"/>
  <c r="K15" i="2"/>
  <c r="K16" i="2"/>
  <c r="K20" i="2"/>
  <c r="K21" i="2"/>
  <c r="K22" i="2"/>
  <c r="K27" i="2"/>
  <c r="K28" i="2"/>
  <c r="K29" i="2"/>
  <c r="K33" i="2"/>
  <c r="K34" i="2"/>
  <c r="K35" i="2"/>
  <c r="K39" i="2"/>
  <c r="K40" i="2"/>
  <c r="K41" i="2"/>
  <c r="K45" i="2"/>
  <c r="K46" i="2"/>
  <c r="K47" i="2"/>
  <c r="K51" i="2"/>
  <c r="K52" i="2"/>
  <c r="K53" i="2"/>
  <c r="K57" i="2"/>
  <c r="K58" i="2"/>
  <c r="K59" i="2"/>
  <c r="K63" i="2"/>
  <c r="K64" i="2"/>
  <c r="K65" i="2"/>
  <c r="K69" i="2"/>
  <c r="K70" i="2"/>
  <c r="K71" i="2"/>
  <c r="K2" i="2"/>
  <c r="E34" i="2"/>
  <c r="E35" i="2"/>
  <c r="E39" i="2"/>
  <c r="E40" i="2"/>
  <c r="E41" i="2"/>
  <c r="E45" i="2"/>
  <c r="E46" i="2"/>
  <c r="E47" i="2"/>
  <c r="E51" i="2"/>
  <c r="E52" i="2"/>
  <c r="E53" i="2"/>
  <c r="E57" i="2"/>
  <c r="E58" i="2"/>
  <c r="E59" i="2"/>
  <c r="E63" i="2"/>
  <c r="E64" i="2"/>
  <c r="E65" i="2"/>
  <c r="E69" i="2"/>
  <c r="E70" i="2"/>
  <c r="E71" i="2"/>
  <c r="E33" i="2"/>
  <c r="E22" i="2"/>
  <c r="E21" i="2"/>
  <c r="E20" i="2"/>
  <c r="E16" i="2"/>
  <c r="E15" i="2"/>
  <c r="E14" i="2"/>
  <c r="E10" i="2"/>
  <c r="E9" i="2"/>
  <c r="E8" i="2"/>
  <c r="T10" i="2"/>
  <c r="E4" i="2"/>
  <c r="E3" i="2"/>
  <c r="E2" i="2"/>
  <c r="T8" i="2"/>
  <c r="T9" i="2"/>
  <c r="T7" i="2"/>
  <c r="J72" i="2"/>
  <c r="K72" i="2" s="1"/>
  <c r="D72" i="2"/>
  <c r="E72" i="2" s="1"/>
  <c r="J66" i="2"/>
  <c r="K66" i="2" s="1"/>
  <c r="D66" i="2"/>
  <c r="E66" i="2" s="1"/>
  <c r="J60" i="2"/>
  <c r="K60" i="2" s="1"/>
  <c r="D60" i="2"/>
  <c r="E60" i="2" s="1"/>
  <c r="J54" i="2"/>
  <c r="D54" i="2"/>
  <c r="E54" i="2" s="1"/>
  <c r="J48" i="2"/>
  <c r="K48" i="2" s="1"/>
  <c r="D48" i="2"/>
  <c r="E48" i="2" s="1"/>
  <c r="J42" i="2"/>
  <c r="K42" i="2" s="1"/>
  <c r="D42" i="2"/>
  <c r="E42" i="2" s="1"/>
  <c r="J36" i="2"/>
  <c r="K36" i="2" s="1"/>
  <c r="D36" i="2"/>
  <c r="E36" i="2" s="1"/>
  <c r="J30" i="2"/>
  <c r="K30" i="2" s="1"/>
  <c r="D30" i="2"/>
  <c r="J23" i="2"/>
  <c r="K23" i="2" s="1"/>
  <c r="J17" i="2"/>
  <c r="K17" i="2" s="1"/>
  <c r="J11" i="2"/>
  <c r="K11" i="2" s="1"/>
  <c r="J5" i="2"/>
  <c r="K5" i="2" s="1"/>
  <c r="D5" i="2"/>
  <c r="D23" i="2"/>
  <c r="E23" i="2" s="1"/>
  <c r="D17" i="2"/>
  <c r="E17" i="2" s="1"/>
  <c r="D11" i="2"/>
  <c r="E11" i="2" s="1"/>
  <c r="L2" i="2" l="1"/>
  <c r="M54" i="2"/>
  <c r="K54" i="2"/>
  <c r="M48" i="2"/>
  <c r="M5" i="2"/>
  <c r="E5" i="2"/>
  <c r="L5" i="2" s="1"/>
  <c r="M66" i="2"/>
  <c r="M60" i="2"/>
  <c r="M42" i="2"/>
  <c r="M72" i="2"/>
  <c r="M36" i="2"/>
  <c r="M30" i="2"/>
  <c r="M23" i="2"/>
  <c r="M17" i="2"/>
  <c r="M11" i="2"/>
</calcChain>
</file>

<file path=xl/sharedStrings.xml><?xml version="1.0" encoding="utf-8"?>
<sst xmlns="http://schemas.openxmlformats.org/spreadsheetml/2006/main" count="165" uniqueCount="26">
  <si>
    <t xml:space="preserve">0hr </t>
    <phoneticPr fontId="1" type="noConversion"/>
  </si>
  <si>
    <t>3+5</t>
    <phoneticPr fontId="1" type="noConversion"/>
  </si>
  <si>
    <t>0mM</t>
    <phoneticPr fontId="1" type="noConversion"/>
  </si>
  <si>
    <t>10mM</t>
    <phoneticPr fontId="1" type="noConversion"/>
  </si>
  <si>
    <t>20mM</t>
    <phoneticPr fontId="1" type="noConversion"/>
  </si>
  <si>
    <t>50mM</t>
    <phoneticPr fontId="1" type="noConversion"/>
  </si>
  <si>
    <t xml:space="preserve">24hr </t>
    <phoneticPr fontId="1" type="noConversion"/>
  </si>
  <si>
    <t>3+7</t>
    <phoneticPr fontId="1" type="noConversion"/>
  </si>
  <si>
    <t>3＋5</t>
    <phoneticPr fontId="1" type="noConversion"/>
  </si>
  <si>
    <t>3+5</t>
  </si>
  <si>
    <t>0mM</t>
  </si>
  <si>
    <t>3＋5</t>
  </si>
  <si>
    <t>10mM</t>
  </si>
  <si>
    <t xml:space="preserve">24hr rate of butyrate production </t>
    <phoneticPr fontId="1" type="noConversion"/>
  </si>
  <si>
    <t>BUK+HBD-CRT-TER</t>
    <phoneticPr fontId="1" type="noConversion"/>
  </si>
  <si>
    <t>BUK+LacI-Ppcha-HBD-CRT-TER</t>
    <phoneticPr fontId="1" type="noConversion"/>
  </si>
  <si>
    <t xml:space="preserve">control </t>
    <phoneticPr fontId="1" type="noConversion"/>
  </si>
  <si>
    <t>control</t>
    <phoneticPr fontId="1" type="noConversion"/>
  </si>
  <si>
    <t>x</t>
    <phoneticPr fontId="1" type="noConversion"/>
  </si>
  <si>
    <t>y</t>
    <phoneticPr fontId="1" type="noConversion"/>
  </si>
  <si>
    <t>y=59906x+10465</t>
    <phoneticPr fontId="1" type="noConversion"/>
  </si>
  <si>
    <t>x=(y-10465)/59906</t>
    <phoneticPr fontId="1" type="noConversion"/>
  </si>
  <si>
    <t xml:space="preserve">Concentration(0hr) </t>
    <phoneticPr fontId="1" type="noConversion"/>
  </si>
  <si>
    <t xml:space="preserve">Concentration(24hr) </t>
    <phoneticPr fontId="1" type="noConversion"/>
  </si>
  <si>
    <t>Con(24hr - 0hr)</t>
    <phoneticPr fontId="1" type="noConversion"/>
  </si>
  <si>
    <t>Area (24hr-0hr)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</si>
</sst>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);[Red]\(0.000\)"/>
  </numFmts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000000"/>
      <name val="新細明體"/>
      <family val="1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7C7AC"/>
        <bgColor rgb="FF000000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5" borderId="1" xfId="0" applyFill="1" applyBorder="1">
      <alignment vertical="center"/>
    </xf>
    <xf numFmtId="0" fontId="2" fillId="6" borderId="1" xfId="0" applyFont="1" applyFill="1" applyBorder="1">
      <alignment vertical="center"/>
    </xf>
    <xf numFmtId="0" fontId="2" fillId="6" borderId="3" xfId="0" applyFont="1" applyFill="1" applyBorder="1">
      <alignment vertical="center"/>
    </xf>
    <xf numFmtId="0" fontId="0" fillId="4" borderId="1" xfId="0" applyFill="1" applyBorder="1" applyAlignment="1">
      <alignment horizontal="right" vertical="center"/>
    </xf>
    <xf numFmtId="0" fontId="0" fillId="0" borderId="4" xfId="0" applyBorder="1">
      <alignment vertical="center"/>
    </xf>
    <xf numFmtId="176" fontId="0" fillId="0" borderId="0" xfId="0" applyNumberFormat="1">
      <alignment vertical="center"/>
    </xf>
    <xf numFmtId="176" fontId="0" fillId="7" borderId="1" xfId="0" applyNumberFormat="1" applyFill="1" applyBorder="1">
      <alignment vertical="center"/>
    </xf>
    <xf numFmtId="176" fontId="0" fillId="7" borderId="0" xfId="0" applyNumberFormat="1" applyFill="1">
      <alignment vertical="center"/>
    </xf>
    <xf numFmtId="10" fontId="0" fillId="0" borderId="0" xfId="0" applyNumberFormat="1">
      <alignment vertical="center"/>
    </xf>
    <xf numFmtId="9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[1]工作表1!$B$39</c:f>
              <c:strCache>
                <c:ptCount val="1"/>
                <c:pt idx="0">
                  <c:v>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[1]工作表1!$A$40:$A$43</c:f>
              <c:numCache>
                <c:formatCode>General</c:formatCode>
                <c:ptCount val="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50</c:v>
                </c:pt>
              </c:numCache>
            </c:numRef>
          </c:xVal>
          <c:yVal>
            <c:numRef>
              <c:f>[1]工作表1!$B$40:$B$43</c:f>
              <c:numCache>
                <c:formatCode>General</c:formatCode>
                <c:ptCount val="4"/>
                <c:pt idx="0">
                  <c:v>0</c:v>
                </c:pt>
                <c:pt idx="1">
                  <c:v>613544</c:v>
                </c:pt>
                <c:pt idx="2">
                  <c:v>1220662</c:v>
                </c:pt>
                <c:pt idx="3">
                  <c:v>3000118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7C1-734D-9487-9EAC8F08D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7587008"/>
        <c:axId val="1873194816"/>
      </c:scatterChart>
      <c:valAx>
        <c:axId val="1897587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73194816"/>
        <c:crosses val="autoZero"/>
        <c:crossBetween val="midCat"/>
      </c:valAx>
      <c:valAx>
        <c:axId val="187319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97587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225178</xdr:colOff>
      <xdr:row>14</xdr:row>
      <xdr:rowOff>99077</xdr:rowOff>
    </xdr:from>
    <xdr:to>
      <xdr:col>23</xdr:col>
      <xdr:colOff>500795</xdr:colOff>
      <xdr:row>29</xdr:row>
      <xdr:rowOff>5044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F9EA6D96-D5C9-0646-81E4-931085785A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Volumes/WM%20TYPE%20C/0921must/2026921HPLC.xlsx" TargetMode="External"/><Relationship Id="rId2" Type="http://schemas.openxmlformats.org/officeDocument/2006/relationships/externalLinkPath" Target="/Volumes/WM%20TYPE%20C/0921must/2026921HPLC.xlsx" TargetMode="External"/><Relationship Id="rId1" Type="http://schemas.openxmlformats.org/officeDocument/2006/relationships/externalLinkPath" Target="/Volumes/WM%20TYPE%20C/0921must/2026921HPL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工作表1"/>
      <sheetName val="工作表2"/>
    </sheetNames>
    <sheetDataSet>
      <sheetData sheetId="0">
        <row r="39">
          <cell r="B39" t="str">
            <v>y</v>
          </cell>
        </row>
        <row r="40">
          <cell r="A40">
            <v>0</v>
          </cell>
          <cell r="B40">
            <v>0</v>
          </cell>
        </row>
        <row r="41">
          <cell r="A41">
            <v>10</v>
          </cell>
          <cell r="B41">
            <v>613544</v>
          </cell>
        </row>
        <row r="42">
          <cell r="A42">
            <v>20</v>
          </cell>
          <cell r="B42">
            <v>1220662</v>
          </cell>
        </row>
        <row r="43">
          <cell r="A43">
            <v>50</v>
          </cell>
          <cell r="B43">
            <v>3000118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30234-52C0-244D-B628-AABAA606A871}">
  <dimension ref="A1:T72"/>
  <sheetViews>
    <sheetView tabSelected="1" topLeftCell="E1" zoomScale="141" zoomScaleNormal="141" workbookViewId="0">
      <selection activeCell="L5" sqref="L5"/>
    </sheetView>
  </sheetViews>
  <sheetFormatPr baseColWidth="10" defaultRowHeight="15" outlineLevelCol="1"/>
  <cols>
    <col min="5" max="5" width="18" style="10" bestFit="1" customWidth="1"/>
    <col min="6" max="6" width="10.83203125" style="10"/>
    <col min="7" max="10" width="10.83203125" customWidth="1" outlineLevel="1"/>
    <col min="11" max="11" width="18" bestFit="1" customWidth="1" outlineLevel="1"/>
    <col min="12" max="12" width="18" style="10" customWidth="1" outlineLevel="1"/>
    <col min="13" max="13" width="14.83203125" bestFit="1" customWidth="1" outlineLevel="1"/>
    <col min="14" max="14" width="14.6640625" bestFit="1" customWidth="1" outlineLevel="1"/>
    <col min="16" max="16" width="34.5" customWidth="1"/>
    <col min="17" max="17" width="18.33203125" customWidth="1"/>
    <col min="19" max="19" width="12.83203125" customWidth="1"/>
  </cols>
  <sheetData>
    <row r="1" spans="1:20">
      <c r="A1" t="s">
        <v>0</v>
      </c>
      <c r="E1" t="s">
        <v>22</v>
      </c>
      <c r="G1" t="s">
        <v>6</v>
      </c>
      <c r="K1" t="s">
        <v>23</v>
      </c>
      <c r="L1" s="10" t="s">
        <v>24</v>
      </c>
      <c r="M1" t="s">
        <v>25</v>
      </c>
    </row>
    <row r="2" spans="1:20">
      <c r="A2" s="2">
        <v>1</v>
      </c>
      <c r="B2" s="2" t="s">
        <v>1</v>
      </c>
      <c r="C2" s="2" t="s">
        <v>2</v>
      </c>
      <c r="D2" s="2">
        <v>138955</v>
      </c>
      <c r="E2" s="11">
        <f>(D2-10465)/59906</f>
        <v>2.1448602811070678</v>
      </c>
      <c r="G2" s="2">
        <v>13</v>
      </c>
      <c r="H2" s="2" t="s">
        <v>1</v>
      </c>
      <c r="I2" s="2" t="s">
        <v>2</v>
      </c>
      <c r="J2" s="2">
        <v>260719</v>
      </c>
      <c r="K2" s="11">
        <f t="shared" ref="K2:K65" si="0">(J2-10465)/59906</f>
        <v>4.1774446633058462</v>
      </c>
      <c r="L2" s="11">
        <f>K2-E2</f>
        <v>2.0325843821987783</v>
      </c>
      <c r="N2" s="13">
        <v>0.94779999999999998</v>
      </c>
    </row>
    <row r="3" spans="1:20">
      <c r="A3" s="5">
        <v>1</v>
      </c>
      <c r="B3" s="5" t="s">
        <v>8</v>
      </c>
      <c r="C3" s="5" t="s">
        <v>2</v>
      </c>
      <c r="D3" s="5">
        <v>115686</v>
      </c>
      <c r="E3" s="11">
        <f t="shared" ref="E3:E5" si="1">(D3-10465)/59906</f>
        <v>1.7564350816278838</v>
      </c>
      <c r="G3" s="6">
        <v>25</v>
      </c>
      <c r="H3" s="7" t="s">
        <v>9</v>
      </c>
      <c r="I3" s="7" t="s">
        <v>10</v>
      </c>
      <c r="J3" s="7">
        <v>308659</v>
      </c>
      <c r="K3" s="11">
        <f t="shared" si="0"/>
        <v>4.9776983941508366</v>
      </c>
      <c r="L3" s="11">
        <f t="shared" ref="L3:L66" si="2">K3-E3</f>
        <v>3.2212633125229528</v>
      </c>
      <c r="N3" s="14">
        <v>1.83</v>
      </c>
      <c r="O3" s="3"/>
      <c r="P3" s="3" t="s">
        <v>13</v>
      </c>
      <c r="Q3" s="3"/>
      <c r="R3" s="3"/>
    </row>
    <row r="4" spans="1:20">
      <c r="A4" s="5">
        <v>13</v>
      </c>
      <c r="B4" s="5" t="s">
        <v>8</v>
      </c>
      <c r="C4" s="5" t="s">
        <v>2</v>
      </c>
      <c r="D4" s="5">
        <v>118248</v>
      </c>
      <c r="E4" s="11">
        <f t="shared" si="1"/>
        <v>1.7992020832637798</v>
      </c>
      <c r="G4" s="5">
        <v>33</v>
      </c>
      <c r="H4" s="5" t="s">
        <v>1</v>
      </c>
      <c r="I4" s="5" t="s">
        <v>2</v>
      </c>
      <c r="J4" s="5">
        <v>348035</v>
      </c>
      <c r="K4" s="11">
        <f t="shared" si="0"/>
        <v>5.6349948252261877</v>
      </c>
      <c r="L4" s="11">
        <f t="shared" si="2"/>
        <v>3.8357927419624076</v>
      </c>
      <c r="N4" s="13">
        <v>2.1322999999999999</v>
      </c>
      <c r="O4" s="3"/>
      <c r="P4" s="3" t="s">
        <v>15</v>
      </c>
      <c r="Q4" s="3" t="s">
        <v>14</v>
      </c>
      <c r="R4" s="3" t="s">
        <v>17</v>
      </c>
      <c r="T4" s="9" t="s">
        <v>20</v>
      </c>
    </row>
    <row r="5" spans="1:20">
      <c r="D5">
        <f>AVERAGE(D2:D4)</f>
        <v>124296.33333333333</v>
      </c>
      <c r="E5" s="10">
        <f t="shared" si="1"/>
        <v>1.9001658153329104</v>
      </c>
      <c r="J5">
        <f>AVERAGE(J2:J4)</f>
        <v>305804.33333333331</v>
      </c>
      <c r="K5" s="10">
        <f t="shared" si="0"/>
        <v>4.9300459608942893</v>
      </c>
      <c r="L5" s="12">
        <f t="shared" si="2"/>
        <v>3.0298801455613789</v>
      </c>
      <c r="M5">
        <f>SUM(J5-D5)</f>
        <v>181508</v>
      </c>
      <c r="N5" s="10"/>
      <c r="O5" s="3" t="s">
        <v>2</v>
      </c>
      <c r="P5" s="3">
        <v>181508</v>
      </c>
      <c r="Q5" s="8">
        <v>324501.33299999998</v>
      </c>
      <c r="R5" s="3">
        <v>22068.666700000002</v>
      </c>
    </row>
    <row r="6" spans="1:20">
      <c r="K6" s="10"/>
      <c r="L6" s="12"/>
      <c r="O6" s="3" t="s">
        <v>3</v>
      </c>
      <c r="P6" s="3">
        <v>708505.66669999994</v>
      </c>
      <c r="Q6" s="8">
        <v>603431</v>
      </c>
      <c r="R6" s="3">
        <v>72406</v>
      </c>
      <c r="S6" t="s">
        <v>19</v>
      </c>
      <c r="T6" t="s">
        <v>21</v>
      </c>
    </row>
    <row r="7" spans="1:20">
      <c r="K7" s="10"/>
      <c r="L7" s="12"/>
      <c r="O7" s="3" t="s">
        <v>4</v>
      </c>
      <c r="P7" s="3">
        <v>491805.3333</v>
      </c>
      <c r="Q7" s="3">
        <v>536567.66700000002</v>
      </c>
      <c r="R7" s="3">
        <v>78982.333299999998</v>
      </c>
      <c r="S7">
        <v>137021</v>
      </c>
      <c r="T7">
        <f>(S7-10465)/59906</f>
        <v>2.1125763696457782</v>
      </c>
    </row>
    <row r="8" spans="1:20">
      <c r="A8" s="2">
        <v>2</v>
      </c>
      <c r="B8" s="2" t="s">
        <v>1</v>
      </c>
      <c r="C8" s="2" t="s">
        <v>3</v>
      </c>
      <c r="D8" s="2">
        <v>782373</v>
      </c>
      <c r="E8" s="11">
        <f>(D8-10465)/59906</f>
        <v>12.8853203351918</v>
      </c>
      <c r="G8" s="2">
        <v>14</v>
      </c>
      <c r="H8" s="2" t="s">
        <v>1</v>
      </c>
      <c r="I8" s="2" t="s">
        <v>3</v>
      </c>
      <c r="J8" s="4">
        <v>1582373</v>
      </c>
      <c r="K8" s="11">
        <f t="shared" si="0"/>
        <v>26.239575334691015</v>
      </c>
      <c r="L8" s="11">
        <f t="shared" si="2"/>
        <v>13.354254999499215</v>
      </c>
      <c r="O8" s="3" t="s">
        <v>5</v>
      </c>
      <c r="P8" s="3">
        <v>-245581.66699999999</v>
      </c>
      <c r="Q8" s="3">
        <v>80504.666700000002</v>
      </c>
      <c r="R8" s="3">
        <v>58304</v>
      </c>
      <c r="S8">
        <v>81944</v>
      </c>
      <c r="T8">
        <f t="shared" ref="T8:T10" si="3">(S8-10465)/59906</f>
        <v>1.1931859913865055</v>
      </c>
    </row>
    <row r="9" spans="1:20">
      <c r="A9" s="5">
        <v>2</v>
      </c>
      <c r="B9" s="5" t="s">
        <v>8</v>
      </c>
      <c r="C9" s="5" t="s">
        <v>3</v>
      </c>
      <c r="D9" s="5">
        <v>711110</v>
      </c>
      <c r="E9" s="11">
        <f t="shared" ref="E9:E11" si="4">(D9-10465)/59906</f>
        <v>11.69573999265516</v>
      </c>
      <c r="G9" s="5">
        <v>26</v>
      </c>
      <c r="H9" s="5" t="s">
        <v>1</v>
      </c>
      <c r="I9" s="5" t="s">
        <v>3</v>
      </c>
      <c r="J9" s="5">
        <v>1335952</v>
      </c>
      <c r="K9" s="11">
        <f t="shared" si="0"/>
        <v>22.126114245651522</v>
      </c>
      <c r="L9" s="11">
        <f t="shared" si="2"/>
        <v>10.430374252996362</v>
      </c>
      <c r="S9">
        <v>83109</v>
      </c>
      <c r="T9">
        <f t="shared" si="3"/>
        <v>1.2126331252295262</v>
      </c>
    </row>
    <row r="10" spans="1:20">
      <c r="A10" s="6">
        <v>14</v>
      </c>
      <c r="B10" s="7" t="s">
        <v>11</v>
      </c>
      <c r="C10" s="7" t="s">
        <v>12</v>
      </c>
      <c r="D10" s="7">
        <v>611785</v>
      </c>
      <c r="E10" s="11">
        <f t="shared" si="4"/>
        <v>10.037725770373585</v>
      </c>
      <c r="G10" s="5">
        <v>34</v>
      </c>
      <c r="H10" s="5" t="s">
        <v>1</v>
      </c>
      <c r="I10" s="5" t="s">
        <v>3</v>
      </c>
      <c r="J10" s="5">
        <v>1312460</v>
      </c>
      <c r="K10" s="11">
        <f t="shared" si="0"/>
        <v>21.733966547591226</v>
      </c>
      <c r="L10" s="11">
        <f t="shared" si="2"/>
        <v>11.696240777217641</v>
      </c>
      <c r="S10">
        <v>100691.33333333333</v>
      </c>
      <c r="T10">
        <f t="shared" si="3"/>
        <v>1.5061318287539367</v>
      </c>
    </row>
    <row r="11" spans="1:20">
      <c r="D11">
        <f>AVERAGE(D8:D10)</f>
        <v>701756</v>
      </c>
      <c r="E11" s="10">
        <f t="shared" si="4"/>
        <v>11.539595366073515</v>
      </c>
      <c r="J11">
        <f>AVERAGE(J8:J10)</f>
        <v>1410261.6666666667</v>
      </c>
      <c r="K11" s="10">
        <f t="shared" si="0"/>
        <v>23.366552042644589</v>
      </c>
      <c r="L11" s="12">
        <f t="shared" si="2"/>
        <v>11.826956676571074</v>
      </c>
      <c r="M11">
        <f>SUM(J11-D11)</f>
        <v>708505.66666666674</v>
      </c>
    </row>
    <row r="12" spans="1:20">
      <c r="K12" s="10"/>
      <c r="L12" s="12"/>
    </row>
    <row r="13" spans="1:20">
      <c r="K13" s="10"/>
      <c r="L13" s="12"/>
    </row>
    <row r="14" spans="1:20">
      <c r="A14" s="2">
        <v>3</v>
      </c>
      <c r="B14" s="2" t="s">
        <v>1</v>
      </c>
      <c r="C14" s="2" t="s">
        <v>4</v>
      </c>
      <c r="D14" s="2">
        <v>1389014</v>
      </c>
      <c r="E14" s="11">
        <f>(D14-10465)/59906</f>
        <v>23.011868594130807</v>
      </c>
      <c r="G14" s="2">
        <v>15</v>
      </c>
      <c r="H14" s="2" t="s">
        <v>1</v>
      </c>
      <c r="I14" s="2" t="s">
        <v>4</v>
      </c>
      <c r="J14" s="2">
        <v>1698808</v>
      </c>
      <c r="K14" s="11">
        <f t="shared" si="0"/>
        <v>28.18320368577438</v>
      </c>
      <c r="L14" s="11">
        <f t="shared" si="2"/>
        <v>5.1713350916435736</v>
      </c>
    </row>
    <row r="15" spans="1:20">
      <c r="A15" s="5">
        <v>3</v>
      </c>
      <c r="B15" s="5" t="s">
        <v>8</v>
      </c>
      <c r="C15" s="5" t="s">
        <v>4</v>
      </c>
      <c r="D15" s="5">
        <v>1255514</v>
      </c>
      <c r="E15" s="11">
        <f t="shared" ref="E15:E17" si="5">(D15-10465)/59906</f>
        <v>20.783377291089373</v>
      </c>
      <c r="G15" s="5">
        <v>27</v>
      </c>
      <c r="H15" s="5" t="s">
        <v>1</v>
      </c>
      <c r="I15" s="5" t="s">
        <v>4</v>
      </c>
      <c r="J15" s="5">
        <v>1859215</v>
      </c>
      <c r="K15" s="11">
        <f t="shared" si="0"/>
        <v>30.860848662905219</v>
      </c>
      <c r="L15" s="11">
        <f t="shared" si="2"/>
        <v>10.077471371815847</v>
      </c>
    </row>
    <row r="16" spans="1:20">
      <c r="A16" s="5">
        <v>15</v>
      </c>
      <c r="B16" s="5" t="s">
        <v>8</v>
      </c>
      <c r="C16" s="5" t="s">
        <v>4</v>
      </c>
      <c r="D16" s="5">
        <v>1161923</v>
      </c>
      <c r="E16" s="11">
        <f t="shared" si="5"/>
        <v>19.22107969151671</v>
      </c>
      <c r="G16" s="5">
        <v>35</v>
      </c>
      <c r="H16" s="5" t="s">
        <v>1</v>
      </c>
      <c r="I16" s="5" t="s">
        <v>4</v>
      </c>
      <c r="J16" s="5">
        <v>1723844</v>
      </c>
      <c r="K16" s="11">
        <f t="shared" si="0"/>
        <v>28.601125095983708</v>
      </c>
      <c r="L16" s="11">
        <f t="shared" si="2"/>
        <v>9.3800454044669976</v>
      </c>
    </row>
    <row r="17" spans="1:17">
      <c r="D17">
        <f>AVERAGE(D14:D16)</f>
        <v>1268817</v>
      </c>
      <c r="E17" s="10">
        <f t="shared" si="5"/>
        <v>21.005441858912295</v>
      </c>
      <c r="J17">
        <f>AVERAGE(J14:J16)</f>
        <v>1760622.3333333333</v>
      </c>
      <c r="K17" s="10">
        <f t="shared" si="0"/>
        <v>29.215059148221101</v>
      </c>
      <c r="L17" s="12">
        <f t="shared" si="2"/>
        <v>8.209617289308806</v>
      </c>
      <c r="M17">
        <f>SUM(J17-D17)</f>
        <v>491805.33333333326</v>
      </c>
    </row>
    <row r="18" spans="1:17">
      <c r="K18" s="10"/>
      <c r="L18" s="12"/>
    </row>
    <row r="19" spans="1:17">
      <c r="K19" s="10"/>
      <c r="L19" s="12"/>
      <c r="P19" s="3" t="s">
        <v>18</v>
      </c>
      <c r="Q19" s="3" t="s">
        <v>19</v>
      </c>
    </row>
    <row r="20" spans="1:17">
      <c r="A20" s="2">
        <v>4</v>
      </c>
      <c r="B20" s="2" t="s">
        <v>1</v>
      </c>
      <c r="C20" s="2" t="s">
        <v>5</v>
      </c>
      <c r="D20" s="2">
        <v>2825338</v>
      </c>
      <c r="E20" s="11">
        <f>(D20-10465)/59906</f>
        <v>46.988164791506691</v>
      </c>
      <c r="G20" s="2">
        <v>16</v>
      </c>
      <c r="H20" s="2" t="s">
        <v>1</v>
      </c>
      <c r="I20" s="2" t="s">
        <v>5</v>
      </c>
      <c r="J20" s="2">
        <v>2840328</v>
      </c>
      <c r="K20" s="11">
        <f t="shared" si="0"/>
        <v>47.238390144559808</v>
      </c>
      <c r="L20" s="11">
        <f t="shared" si="2"/>
        <v>0.25022535305311777</v>
      </c>
      <c r="P20" s="3">
        <v>0</v>
      </c>
      <c r="Q20" s="3">
        <v>0</v>
      </c>
    </row>
    <row r="21" spans="1:17">
      <c r="A21" s="5">
        <v>4</v>
      </c>
      <c r="B21" s="5" t="s">
        <v>8</v>
      </c>
      <c r="C21" s="5" t="s">
        <v>5</v>
      </c>
      <c r="D21" s="5">
        <v>3269275</v>
      </c>
      <c r="E21" s="11">
        <f t="shared" ref="E21:E23" si="6">(D21-10465)/59906</f>
        <v>54.398724668647546</v>
      </c>
      <c r="G21" s="5">
        <v>28</v>
      </c>
      <c r="H21" s="5" t="s">
        <v>1</v>
      </c>
      <c r="I21" s="5" t="s">
        <v>5</v>
      </c>
      <c r="J21" s="5">
        <v>3066865</v>
      </c>
      <c r="K21" s="11">
        <f t="shared" si="0"/>
        <v>51.019931225586753</v>
      </c>
      <c r="L21" s="11">
        <f t="shared" si="2"/>
        <v>-3.3787934430607933</v>
      </c>
      <c r="P21" s="3">
        <v>10</v>
      </c>
      <c r="Q21" s="3">
        <v>613544</v>
      </c>
    </row>
    <row r="22" spans="1:17">
      <c r="A22" s="5">
        <v>16</v>
      </c>
      <c r="B22" s="5" t="s">
        <v>8</v>
      </c>
      <c r="C22" s="5" t="s">
        <v>5</v>
      </c>
      <c r="D22" s="5">
        <v>3060103</v>
      </c>
      <c r="E22" s="11">
        <f t="shared" si="6"/>
        <v>50.907054385203487</v>
      </c>
      <c r="G22" s="5">
        <v>36</v>
      </c>
      <c r="H22" s="5" t="s">
        <v>1</v>
      </c>
      <c r="I22" s="5" t="s">
        <v>5</v>
      </c>
      <c r="J22" s="5">
        <v>2510778</v>
      </c>
      <c r="K22" s="11">
        <f t="shared" si="0"/>
        <v>41.7372717257036</v>
      </c>
      <c r="L22" s="11">
        <f t="shared" si="2"/>
        <v>-9.1697826594998872</v>
      </c>
      <c r="P22" s="3">
        <v>20</v>
      </c>
      <c r="Q22" s="3">
        <v>1220662</v>
      </c>
    </row>
    <row r="23" spans="1:17">
      <c r="D23">
        <f>AVERAGE(D20:D22)</f>
        <v>3051572</v>
      </c>
      <c r="E23" s="10">
        <f t="shared" si="6"/>
        <v>50.764647948452577</v>
      </c>
      <c r="J23">
        <f>AVERAGE(J20:J22)</f>
        <v>2805990.3333333335</v>
      </c>
      <c r="K23" s="10">
        <f t="shared" si="0"/>
        <v>46.665197698616723</v>
      </c>
      <c r="L23" s="12">
        <f t="shared" si="2"/>
        <v>-4.0994502498358543</v>
      </c>
      <c r="M23">
        <f>SUM(J23-D23)</f>
        <v>-245581.66666666651</v>
      </c>
      <c r="P23" s="3">
        <v>50</v>
      </c>
      <c r="Q23" s="3">
        <v>3000118</v>
      </c>
    </row>
    <row r="24" spans="1:17">
      <c r="K24" s="10"/>
      <c r="L24" s="12"/>
    </row>
    <row r="25" spans="1:17">
      <c r="K25" s="10"/>
      <c r="L25" s="12"/>
    </row>
    <row r="26" spans="1:17">
      <c r="A26" t="s">
        <v>0</v>
      </c>
      <c r="G26" t="s">
        <v>6</v>
      </c>
      <c r="K26" s="10"/>
      <c r="L26" s="12"/>
    </row>
    <row r="27" spans="1:17">
      <c r="A27" s="1">
        <v>5</v>
      </c>
      <c r="B27" s="1" t="s">
        <v>7</v>
      </c>
      <c r="C27" s="1" t="s">
        <v>2</v>
      </c>
      <c r="D27" s="1">
        <v>137021</v>
      </c>
      <c r="E27" s="11">
        <v>2.1125763696457782</v>
      </c>
      <c r="G27" s="1">
        <v>17</v>
      </c>
      <c r="H27" s="1" t="s">
        <v>7</v>
      </c>
      <c r="I27" s="1" t="s">
        <v>2</v>
      </c>
      <c r="J27" s="1">
        <v>324737</v>
      </c>
      <c r="K27" s="11">
        <f t="shared" si="0"/>
        <v>5.2460855340032717</v>
      </c>
      <c r="L27" s="11">
        <f t="shared" si="2"/>
        <v>3.1335091643574935</v>
      </c>
    </row>
    <row r="28" spans="1:17">
      <c r="A28" s="1">
        <v>5</v>
      </c>
      <c r="B28" s="1" t="s">
        <v>7</v>
      </c>
      <c r="C28" s="1" t="s">
        <v>2</v>
      </c>
      <c r="D28" s="1">
        <v>81944</v>
      </c>
      <c r="E28" s="11">
        <v>1.1931859913865055</v>
      </c>
      <c r="G28" s="1">
        <v>29</v>
      </c>
      <c r="H28" s="1" t="s">
        <v>7</v>
      </c>
      <c r="I28" s="1" t="s">
        <v>2</v>
      </c>
      <c r="J28" s="1">
        <v>429033</v>
      </c>
      <c r="K28" s="11">
        <f t="shared" si="0"/>
        <v>6.9870797582879849</v>
      </c>
      <c r="L28" s="11">
        <f t="shared" si="2"/>
        <v>5.7938937669014798</v>
      </c>
    </row>
    <row r="29" spans="1:17">
      <c r="A29" s="1">
        <v>17</v>
      </c>
      <c r="B29" s="1" t="s">
        <v>7</v>
      </c>
      <c r="C29" s="1" t="s">
        <v>2</v>
      </c>
      <c r="D29" s="1">
        <v>83109</v>
      </c>
      <c r="E29" s="11">
        <v>1.2126331252295262</v>
      </c>
      <c r="G29" s="1">
        <v>37</v>
      </c>
      <c r="H29" s="1" t="s">
        <v>7</v>
      </c>
      <c r="I29" s="1" t="s">
        <v>2</v>
      </c>
      <c r="J29" s="1">
        <v>521808</v>
      </c>
      <c r="K29" s="11">
        <f t="shared" si="0"/>
        <v>8.5357560177611589</v>
      </c>
      <c r="L29" s="11">
        <f t="shared" si="2"/>
        <v>7.3231228925316323</v>
      </c>
    </row>
    <row r="30" spans="1:17">
      <c r="D30">
        <f>AVERAGE(D27:D29)</f>
        <v>100691.33333333333</v>
      </c>
      <c r="E30" s="10">
        <v>1.5061318287539367</v>
      </c>
      <c r="J30">
        <f>AVERAGE(J27:J29)</f>
        <v>425192.66666666669</v>
      </c>
      <c r="K30" s="10">
        <f t="shared" si="0"/>
        <v>6.9229737700174718</v>
      </c>
      <c r="L30" s="12">
        <f t="shared" si="2"/>
        <v>5.4168419412635354</v>
      </c>
      <c r="M30">
        <f>SUM(J30-D30)</f>
        <v>324501.33333333337</v>
      </c>
    </row>
    <row r="31" spans="1:17">
      <c r="K31" s="10"/>
      <c r="L31" s="12"/>
    </row>
    <row r="32" spans="1:17">
      <c r="E32"/>
      <c r="F32"/>
      <c r="K32" s="10"/>
      <c r="L32" s="12"/>
    </row>
    <row r="33" spans="1:13">
      <c r="A33" s="1">
        <v>6</v>
      </c>
      <c r="B33" s="1" t="s">
        <v>7</v>
      </c>
      <c r="C33" s="1" t="s">
        <v>3</v>
      </c>
      <c r="D33" s="1">
        <v>782373</v>
      </c>
      <c r="E33" s="11">
        <f>(D33-10465)/59906</f>
        <v>12.8853203351918</v>
      </c>
      <c r="G33" s="1">
        <v>18</v>
      </c>
      <c r="H33" s="1" t="s">
        <v>7</v>
      </c>
      <c r="I33" s="1" t="s">
        <v>3</v>
      </c>
      <c r="J33" s="1">
        <v>1386880</v>
      </c>
      <c r="K33" s="11">
        <f t="shared" si="0"/>
        <v>22.97624611891964</v>
      </c>
      <c r="L33" s="11">
        <f t="shared" si="2"/>
        <v>10.09092578372784</v>
      </c>
    </row>
    <row r="34" spans="1:13">
      <c r="A34" s="1">
        <v>6</v>
      </c>
      <c r="B34" s="1" t="s">
        <v>7</v>
      </c>
      <c r="C34" s="1" t="s">
        <v>3</v>
      </c>
      <c r="D34" s="1">
        <v>633283</v>
      </c>
      <c r="E34" s="11">
        <f t="shared" ref="E34:E72" si="7">(D34-10465)/59906</f>
        <v>10.396587987847628</v>
      </c>
      <c r="G34" s="1">
        <v>30</v>
      </c>
      <c r="H34" s="1" t="s">
        <v>7</v>
      </c>
      <c r="I34" s="1" t="s">
        <v>3</v>
      </c>
      <c r="J34" s="1">
        <v>1096171</v>
      </c>
      <c r="K34" s="11">
        <f t="shared" si="0"/>
        <v>18.123493473107867</v>
      </c>
      <c r="L34" s="11">
        <f t="shared" si="2"/>
        <v>7.7269054852602395</v>
      </c>
    </row>
    <row r="35" spans="1:13">
      <c r="A35" s="1">
        <v>18</v>
      </c>
      <c r="B35" s="1" t="s">
        <v>7</v>
      </c>
      <c r="C35" s="1" t="s">
        <v>3</v>
      </c>
      <c r="D35" s="1">
        <v>610341</v>
      </c>
      <c r="E35" s="11">
        <f t="shared" si="7"/>
        <v>10.013621340099489</v>
      </c>
      <c r="G35" s="1">
        <v>38</v>
      </c>
      <c r="H35" s="1" t="s">
        <v>7</v>
      </c>
      <c r="I35" s="1" t="s">
        <v>3</v>
      </c>
      <c r="J35" s="1">
        <v>1353239</v>
      </c>
      <c r="K35" s="11">
        <f t="shared" si="0"/>
        <v>22.414683003371948</v>
      </c>
      <c r="L35" s="11">
        <f t="shared" si="2"/>
        <v>12.40106166327246</v>
      </c>
    </row>
    <row r="36" spans="1:13">
      <c r="D36">
        <f>AVERAGE(D33:D35)</f>
        <v>675332.33333333337</v>
      </c>
      <c r="E36" s="10">
        <f t="shared" si="7"/>
        <v>11.098509887712973</v>
      </c>
      <c r="J36">
        <f>AVERAGE(J33:J35)</f>
        <v>1278763.3333333333</v>
      </c>
      <c r="K36" s="10">
        <f t="shared" si="0"/>
        <v>21.171474198466484</v>
      </c>
      <c r="L36" s="12">
        <f t="shared" si="2"/>
        <v>10.072964310753511</v>
      </c>
      <c r="M36">
        <f>SUM(J36-D36)</f>
        <v>603430.99999999988</v>
      </c>
    </row>
    <row r="37" spans="1:13">
      <c r="K37" s="10"/>
      <c r="L37" s="12"/>
    </row>
    <row r="38" spans="1:13">
      <c r="K38" s="10"/>
      <c r="L38" s="12"/>
    </row>
    <row r="39" spans="1:13">
      <c r="A39" s="1">
        <v>7</v>
      </c>
      <c r="B39" s="1" t="s">
        <v>7</v>
      </c>
      <c r="C39" s="1" t="s">
        <v>4</v>
      </c>
      <c r="D39" s="1">
        <v>1195790</v>
      </c>
      <c r="E39" s="11">
        <f t="shared" si="7"/>
        <v>19.786415384101758</v>
      </c>
      <c r="G39" s="1">
        <v>19</v>
      </c>
      <c r="H39" s="1" t="s">
        <v>7</v>
      </c>
      <c r="I39" s="1" t="s">
        <v>4</v>
      </c>
      <c r="J39" s="1">
        <v>1877488</v>
      </c>
      <c r="K39" s="11">
        <f t="shared" si="0"/>
        <v>31.165876539912528</v>
      </c>
      <c r="L39" s="11">
        <f t="shared" si="2"/>
        <v>11.37946115581077</v>
      </c>
    </row>
    <row r="40" spans="1:13">
      <c r="A40" s="1">
        <v>7</v>
      </c>
      <c r="B40" s="1" t="s">
        <v>7</v>
      </c>
      <c r="C40" s="1" t="s">
        <v>4</v>
      </c>
      <c r="D40" s="1">
        <v>1209774</v>
      </c>
      <c r="E40" s="11">
        <f t="shared" si="7"/>
        <v>20.019847761493004</v>
      </c>
      <c r="G40" s="1">
        <v>31</v>
      </c>
      <c r="H40" s="1" t="s">
        <v>7</v>
      </c>
      <c r="I40" s="1" t="s">
        <v>4</v>
      </c>
      <c r="J40" s="1">
        <v>1547438</v>
      </c>
      <c r="K40" s="11">
        <f t="shared" si="0"/>
        <v>25.656411711681635</v>
      </c>
      <c r="L40" s="11">
        <f t="shared" si="2"/>
        <v>5.6365639501886307</v>
      </c>
    </row>
    <row r="41" spans="1:13">
      <c r="A41" s="1">
        <v>19</v>
      </c>
      <c r="B41" s="1" t="s">
        <v>7</v>
      </c>
      <c r="C41" s="1" t="s">
        <v>4</v>
      </c>
      <c r="D41" s="1">
        <v>1217794</v>
      </c>
      <c r="E41" s="11">
        <f t="shared" si="7"/>
        <v>20.153724167862986</v>
      </c>
      <c r="G41" s="1">
        <v>39</v>
      </c>
      <c r="H41" s="1" t="s">
        <v>7</v>
      </c>
      <c r="I41" s="1" t="s">
        <v>4</v>
      </c>
      <c r="J41" s="1">
        <v>1808135</v>
      </c>
      <c r="K41" s="11">
        <f t="shared" si="0"/>
        <v>30.008179481187192</v>
      </c>
      <c r="L41" s="11">
        <f t="shared" si="2"/>
        <v>9.8544553133242054</v>
      </c>
    </row>
    <row r="42" spans="1:13">
      <c r="D42">
        <f>AVERAGE(D39:D41)</f>
        <v>1207786</v>
      </c>
      <c r="E42" s="10">
        <f t="shared" si="7"/>
        <v>19.986662437819252</v>
      </c>
      <c r="J42">
        <f>AVERAGE(J39:J41)</f>
        <v>1744353.6666666667</v>
      </c>
      <c r="K42" s="10">
        <f t="shared" si="0"/>
        <v>28.943489244260455</v>
      </c>
      <c r="L42" s="12">
        <f t="shared" si="2"/>
        <v>8.9568268064412031</v>
      </c>
      <c r="M42">
        <f>SUM(J42-D42)</f>
        <v>536567.66666666674</v>
      </c>
    </row>
    <row r="43" spans="1:13">
      <c r="K43" s="10"/>
      <c r="L43" s="12"/>
    </row>
    <row r="44" spans="1:13">
      <c r="K44" s="10"/>
      <c r="L44" s="12"/>
    </row>
    <row r="45" spans="1:13">
      <c r="A45" s="1">
        <v>8</v>
      </c>
      <c r="B45" s="1" t="s">
        <v>7</v>
      </c>
      <c r="C45" s="1" t="s">
        <v>5</v>
      </c>
      <c r="D45" s="1">
        <v>2740709</v>
      </c>
      <c r="E45" s="11">
        <f t="shared" si="7"/>
        <v>45.575468233565921</v>
      </c>
      <c r="G45" s="1">
        <v>20</v>
      </c>
      <c r="H45" s="1" t="s">
        <v>7</v>
      </c>
      <c r="I45" s="1" t="s">
        <v>5</v>
      </c>
      <c r="J45" s="1">
        <v>2727774</v>
      </c>
      <c r="K45" s="11">
        <f t="shared" si="0"/>
        <v>45.359546623042768</v>
      </c>
      <c r="L45" s="11">
        <f t="shared" si="2"/>
        <v>-0.21592161052315362</v>
      </c>
    </row>
    <row r="46" spans="1:13">
      <c r="A46" s="1">
        <v>8</v>
      </c>
      <c r="B46" s="1" t="s">
        <v>7</v>
      </c>
      <c r="C46" s="1" t="s">
        <v>5</v>
      </c>
      <c r="D46" s="1">
        <v>3210569</v>
      </c>
      <c r="E46" s="11">
        <f t="shared" si="7"/>
        <v>53.418756051146794</v>
      </c>
      <c r="G46" s="1">
        <v>32</v>
      </c>
      <c r="H46" s="1" t="s">
        <v>7</v>
      </c>
      <c r="I46" s="1" t="s">
        <v>5</v>
      </c>
      <c r="J46" s="1">
        <v>3164287</v>
      </c>
      <c r="K46" s="11">
        <f t="shared" si="0"/>
        <v>52.64617901378827</v>
      </c>
      <c r="L46" s="11">
        <f t="shared" si="2"/>
        <v>-0.77257703735852346</v>
      </c>
    </row>
    <row r="47" spans="1:13">
      <c r="A47" s="1">
        <v>20</v>
      </c>
      <c r="B47" s="1" t="s">
        <v>7</v>
      </c>
      <c r="C47" s="1" t="s">
        <v>5</v>
      </c>
      <c r="D47" s="1">
        <v>2824524</v>
      </c>
      <c r="E47" s="11">
        <f t="shared" si="7"/>
        <v>46.974576837044701</v>
      </c>
      <c r="G47" s="1">
        <v>40</v>
      </c>
      <c r="H47" s="1" t="s">
        <v>7</v>
      </c>
      <c r="I47" s="1" t="s">
        <v>5</v>
      </c>
      <c r="J47" s="1">
        <v>3125255</v>
      </c>
      <c r="K47" s="11">
        <f t="shared" si="0"/>
        <v>51.994624912362703</v>
      </c>
      <c r="L47" s="11">
        <f t="shared" si="2"/>
        <v>5.0200480753180017</v>
      </c>
    </row>
    <row r="48" spans="1:13">
      <c r="D48">
        <f>AVERAGE(D45:D47)</f>
        <v>2925267.3333333335</v>
      </c>
      <c r="E48" s="10">
        <f t="shared" si="7"/>
        <v>48.65626704058581</v>
      </c>
      <c r="J48">
        <f>AVERAGE(J45:J47)</f>
        <v>3005772</v>
      </c>
      <c r="K48" s="10">
        <f t="shared" si="0"/>
        <v>50.000116849731249</v>
      </c>
      <c r="L48" s="12">
        <f t="shared" si="2"/>
        <v>1.3438498091454392</v>
      </c>
      <c r="M48">
        <f>SUM(J48-D48)</f>
        <v>80504.666666666511</v>
      </c>
    </row>
    <row r="49" spans="1:13">
      <c r="K49" s="10"/>
      <c r="L49" s="12"/>
    </row>
    <row r="50" spans="1:13">
      <c r="K50" s="10"/>
      <c r="L50" s="12"/>
    </row>
    <row r="51" spans="1:13">
      <c r="A51">
        <v>9</v>
      </c>
      <c r="B51" t="s">
        <v>16</v>
      </c>
      <c r="C51" t="s">
        <v>2</v>
      </c>
      <c r="D51">
        <v>126163</v>
      </c>
      <c r="E51" s="11">
        <f t="shared" si="7"/>
        <v>1.9313257436650753</v>
      </c>
      <c r="G51">
        <v>21</v>
      </c>
      <c r="H51" t="s">
        <v>16</v>
      </c>
      <c r="I51" t="s">
        <v>2</v>
      </c>
      <c r="J51">
        <v>128474</v>
      </c>
      <c r="K51" s="11">
        <f t="shared" si="0"/>
        <v>1.9699028477948786</v>
      </c>
      <c r="L51" s="11">
        <f t="shared" si="2"/>
        <v>3.8577104129803308E-2</v>
      </c>
    </row>
    <row r="52" spans="1:13">
      <c r="A52">
        <v>9</v>
      </c>
      <c r="B52" t="s">
        <v>16</v>
      </c>
      <c r="C52" t="s">
        <v>2</v>
      </c>
      <c r="D52">
        <v>120357</v>
      </c>
      <c r="E52" s="11">
        <f t="shared" si="7"/>
        <v>1.8344072380062098</v>
      </c>
      <c r="G52">
        <v>45</v>
      </c>
      <c r="H52" t="s">
        <v>16</v>
      </c>
      <c r="I52" t="s">
        <v>2</v>
      </c>
      <c r="J52">
        <v>171148</v>
      </c>
      <c r="K52" s="11">
        <f t="shared" si="0"/>
        <v>2.6822521951056655</v>
      </c>
      <c r="L52" s="11">
        <f t="shared" si="2"/>
        <v>0.84784495709945573</v>
      </c>
    </row>
    <row r="53" spans="1:13">
      <c r="A53">
        <v>21</v>
      </c>
      <c r="B53" t="s">
        <v>16</v>
      </c>
      <c r="C53" t="s">
        <v>2</v>
      </c>
      <c r="D53">
        <v>100709</v>
      </c>
      <c r="E53" s="11">
        <f t="shared" si="7"/>
        <v>1.506426735218509</v>
      </c>
      <c r="G53">
        <v>49</v>
      </c>
      <c r="H53" t="s">
        <v>16</v>
      </c>
      <c r="I53" t="s">
        <v>2</v>
      </c>
      <c r="J53">
        <v>113813</v>
      </c>
      <c r="K53" s="11">
        <f t="shared" si="0"/>
        <v>1.7251694321103062</v>
      </c>
      <c r="L53" s="11">
        <f t="shared" si="2"/>
        <v>0.21874269689179715</v>
      </c>
    </row>
    <row r="54" spans="1:13">
      <c r="D54">
        <f>AVERAGE(D51:D53)</f>
        <v>115743</v>
      </c>
      <c r="E54" s="10">
        <f t="shared" si="7"/>
        <v>1.757386572296598</v>
      </c>
      <c r="J54">
        <f>AVERAGE(J51:J53)</f>
        <v>137811.66666666666</v>
      </c>
      <c r="K54" s="10">
        <f t="shared" si="0"/>
        <v>2.1257748250036168</v>
      </c>
      <c r="L54" s="12">
        <f t="shared" si="2"/>
        <v>0.3683882527070188</v>
      </c>
      <c r="M54">
        <f>SUM(J54-D54)</f>
        <v>22068.666666666657</v>
      </c>
    </row>
    <row r="55" spans="1:13">
      <c r="K55" s="10"/>
      <c r="L55" s="12"/>
    </row>
    <row r="56" spans="1:13">
      <c r="K56" s="10"/>
      <c r="L56" s="12"/>
    </row>
    <row r="57" spans="1:13">
      <c r="A57">
        <v>10</v>
      </c>
      <c r="B57" t="s">
        <v>16</v>
      </c>
      <c r="C57" t="s">
        <v>3</v>
      </c>
      <c r="D57">
        <v>601405</v>
      </c>
      <c r="E57" s="11">
        <f t="shared" si="7"/>
        <v>9.8644543117550825</v>
      </c>
      <c r="G57">
        <v>22</v>
      </c>
      <c r="H57" t="s">
        <v>16</v>
      </c>
      <c r="I57" t="s">
        <v>3</v>
      </c>
      <c r="J57">
        <v>872120</v>
      </c>
      <c r="K57" s="11">
        <f t="shared" si="0"/>
        <v>14.38345073949187</v>
      </c>
      <c r="L57" s="11">
        <f t="shared" si="2"/>
        <v>4.5189964277367878</v>
      </c>
    </row>
    <row r="58" spans="1:13">
      <c r="A58">
        <v>10</v>
      </c>
      <c r="B58" t="s">
        <v>16</v>
      </c>
      <c r="C58" t="s">
        <v>3</v>
      </c>
      <c r="D58">
        <v>697237</v>
      </c>
      <c r="E58" s="11">
        <f t="shared" si="7"/>
        <v>11.464160518145095</v>
      </c>
      <c r="G58">
        <v>46</v>
      </c>
      <c r="H58" t="s">
        <v>16</v>
      </c>
      <c r="I58" t="s">
        <v>3</v>
      </c>
      <c r="J58">
        <v>628342</v>
      </c>
      <c r="K58" s="11">
        <f t="shared" si="0"/>
        <v>10.314108770406971</v>
      </c>
      <c r="L58" s="11">
        <f t="shared" si="2"/>
        <v>-1.1500517477381234</v>
      </c>
    </row>
    <row r="59" spans="1:13">
      <c r="A59">
        <v>22</v>
      </c>
      <c r="B59" t="s">
        <v>16</v>
      </c>
      <c r="C59" t="s">
        <v>3</v>
      </c>
      <c r="D59">
        <v>645957</v>
      </c>
      <c r="E59" s="11">
        <f t="shared" si="7"/>
        <v>10.608152772677194</v>
      </c>
      <c r="G59">
        <v>50</v>
      </c>
      <c r="H59" t="s">
        <v>16</v>
      </c>
      <c r="I59" t="s">
        <v>3</v>
      </c>
      <c r="J59">
        <v>661355</v>
      </c>
      <c r="K59" s="11">
        <f t="shared" si="0"/>
        <v>10.865188795780055</v>
      </c>
      <c r="L59" s="11">
        <f t="shared" si="2"/>
        <v>0.25703602310286122</v>
      </c>
    </row>
    <row r="60" spans="1:13">
      <c r="D60">
        <f>AVERAGE(D57:D59)</f>
        <v>648199.66666666663</v>
      </c>
      <c r="E60" s="10">
        <f t="shared" si="7"/>
        <v>10.645589200859122</v>
      </c>
      <c r="J60">
        <f>AVERAGE(J57:J59)</f>
        <v>720605.66666666663</v>
      </c>
      <c r="K60" s="10">
        <f t="shared" si="0"/>
        <v>11.854249435226299</v>
      </c>
      <c r="L60" s="12">
        <f t="shared" si="2"/>
        <v>1.2086602343671764</v>
      </c>
      <c r="M60">
        <f>SUM(J60-D60)</f>
        <v>72406</v>
      </c>
    </row>
    <row r="61" spans="1:13">
      <c r="K61" s="10"/>
      <c r="L61" s="12"/>
    </row>
    <row r="62" spans="1:13">
      <c r="K62" s="10"/>
      <c r="L62" s="12"/>
    </row>
    <row r="63" spans="1:13">
      <c r="A63">
        <v>11</v>
      </c>
      <c r="B63" t="s">
        <v>16</v>
      </c>
      <c r="C63" t="s">
        <v>4</v>
      </c>
      <c r="D63">
        <v>1525050</v>
      </c>
      <c r="E63" s="11">
        <f t="shared" si="7"/>
        <v>25.28269288552065</v>
      </c>
      <c r="G63">
        <v>23</v>
      </c>
      <c r="H63" t="s">
        <v>17</v>
      </c>
      <c r="I63" t="s">
        <v>4</v>
      </c>
      <c r="J63">
        <v>1854181</v>
      </c>
      <c r="K63" s="11">
        <f t="shared" si="0"/>
        <v>30.776817013320869</v>
      </c>
      <c r="L63" s="11">
        <f t="shared" si="2"/>
        <v>5.4941241278002195</v>
      </c>
    </row>
    <row r="64" spans="1:13">
      <c r="A64">
        <v>11</v>
      </c>
      <c r="B64" t="s">
        <v>16</v>
      </c>
      <c r="C64" t="s">
        <v>4</v>
      </c>
      <c r="D64">
        <v>1228314</v>
      </c>
      <c r="E64" s="11">
        <f t="shared" si="7"/>
        <v>20.329332621106399</v>
      </c>
      <c r="G64">
        <v>47</v>
      </c>
      <c r="H64" t="s">
        <v>16</v>
      </c>
      <c r="I64" t="s">
        <v>4</v>
      </c>
      <c r="J64">
        <v>1249588</v>
      </c>
      <c r="K64" s="11">
        <f t="shared" si="0"/>
        <v>20.684455647180584</v>
      </c>
      <c r="L64" s="11">
        <f t="shared" si="2"/>
        <v>0.35512302607418533</v>
      </c>
    </row>
    <row r="65" spans="1:13">
      <c r="A65">
        <v>23</v>
      </c>
      <c r="B65" t="s">
        <v>16</v>
      </c>
      <c r="C65" t="s">
        <v>4</v>
      </c>
      <c r="D65">
        <v>1233213</v>
      </c>
      <c r="E65" s="11">
        <f t="shared" si="7"/>
        <v>20.411110740159582</v>
      </c>
      <c r="G65">
        <v>51</v>
      </c>
      <c r="H65" t="s">
        <v>16</v>
      </c>
      <c r="I65" t="s">
        <v>4</v>
      </c>
      <c r="J65">
        <v>1119755</v>
      </c>
      <c r="K65" s="11">
        <f t="shared" si="0"/>
        <v>18.517176910493106</v>
      </c>
      <c r="L65" s="11">
        <f t="shared" si="2"/>
        <v>-1.8939338296664765</v>
      </c>
    </row>
    <row r="66" spans="1:13">
      <c r="D66">
        <f>AVERAGE(D63:D65)</f>
        <v>1328859</v>
      </c>
      <c r="E66" s="10">
        <f t="shared" si="7"/>
        <v>22.007712082262209</v>
      </c>
      <c r="J66">
        <f>AVERAGE(J63:J65)</f>
        <v>1407841.3333333333</v>
      </c>
      <c r="K66" s="10">
        <f t="shared" ref="K66:K72" si="8">(J66-10465)/59906</f>
        <v>23.326149856998185</v>
      </c>
      <c r="L66" s="12">
        <f t="shared" si="2"/>
        <v>1.3184377747359761</v>
      </c>
      <c r="M66">
        <f>SUM(J66-D66)</f>
        <v>78982.333333333256</v>
      </c>
    </row>
    <row r="67" spans="1:13">
      <c r="K67" s="10"/>
      <c r="L67" s="12"/>
    </row>
    <row r="68" spans="1:13">
      <c r="K68" s="10"/>
      <c r="L68" s="12"/>
    </row>
    <row r="69" spans="1:13">
      <c r="A69">
        <v>12</v>
      </c>
      <c r="B69" t="s">
        <v>16</v>
      </c>
      <c r="C69" t="s">
        <v>5</v>
      </c>
      <c r="D69">
        <v>2589169</v>
      </c>
      <c r="E69" s="11">
        <f t="shared" si="7"/>
        <v>43.045838480285781</v>
      </c>
      <c r="G69">
        <v>24</v>
      </c>
      <c r="H69" t="s">
        <v>16</v>
      </c>
      <c r="I69" t="s">
        <v>5</v>
      </c>
      <c r="J69">
        <v>2724637</v>
      </c>
      <c r="K69" s="11">
        <f t="shared" si="8"/>
        <v>45.30718125062598</v>
      </c>
      <c r="L69" s="11">
        <f t="shared" ref="L69:L72" si="9">K69-E69</f>
        <v>2.2613427703401996</v>
      </c>
    </row>
    <row r="70" spans="1:13">
      <c r="A70">
        <v>12</v>
      </c>
      <c r="B70" t="s">
        <v>16</v>
      </c>
      <c r="C70" t="s">
        <v>5</v>
      </c>
      <c r="D70">
        <v>3142935</v>
      </c>
      <c r="E70" s="11">
        <f t="shared" si="7"/>
        <v>52.289753947851636</v>
      </c>
      <c r="G70">
        <v>48</v>
      </c>
      <c r="H70" t="s">
        <v>16</v>
      </c>
      <c r="I70" t="s">
        <v>5</v>
      </c>
      <c r="J70">
        <v>2906638</v>
      </c>
      <c r="K70" s="11">
        <f t="shared" si="8"/>
        <v>48.345290955830805</v>
      </c>
      <c r="L70" s="11">
        <f t="shared" si="9"/>
        <v>-3.9444629920208314</v>
      </c>
    </row>
    <row r="71" spans="1:13">
      <c r="A71">
        <v>24</v>
      </c>
      <c r="B71" t="s">
        <v>16</v>
      </c>
      <c r="C71" t="s">
        <v>5</v>
      </c>
      <c r="D71">
        <v>2724637</v>
      </c>
      <c r="E71" s="11">
        <f t="shared" si="7"/>
        <v>45.30718125062598</v>
      </c>
      <c r="G71">
        <v>52</v>
      </c>
      <c r="H71" t="s">
        <v>16</v>
      </c>
      <c r="I71" t="s">
        <v>5</v>
      </c>
      <c r="J71">
        <v>3000378</v>
      </c>
      <c r="K71" s="11">
        <f t="shared" si="8"/>
        <v>49.910075785397119</v>
      </c>
      <c r="L71" s="11">
        <f t="shared" si="9"/>
        <v>4.6028945347711385</v>
      </c>
    </row>
    <row r="72" spans="1:13">
      <c r="D72">
        <f>AVERAGE(D69:D71)</f>
        <v>2818913.6666666665</v>
      </c>
      <c r="E72" s="10">
        <f t="shared" si="7"/>
        <v>46.880924559587797</v>
      </c>
      <c r="J72">
        <f>AVERAGE(J69:J71)</f>
        <v>2877217.6666666665</v>
      </c>
      <c r="K72" s="10">
        <f t="shared" si="8"/>
        <v>47.854182663951299</v>
      </c>
      <c r="L72" s="12">
        <f t="shared" si="9"/>
        <v>0.97325810436350224</v>
      </c>
      <c r="M72">
        <f>SUM(J72-D72)</f>
        <v>58304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W. M. Cheong</dc:creator>
  <cp:lastModifiedBy>W. M. Cheong</cp:lastModifiedBy>
  <dcterms:created xsi:type="dcterms:W3CDTF">2026-09-21T12:39:46Z</dcterms:created>
  <dcterms:modified xsi:type="dcterms:W3CDTF">2026-09-27T13:57:54Z</dcterms:modified>
</cp:coreProperties>
</file>